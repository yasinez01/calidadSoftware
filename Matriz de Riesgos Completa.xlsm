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in\Downloads\"/>
    </mc:Choice>
  </mc:AlternateContent>
  <xr:revisionPtr revIDLastSave="0" documentId="13_ncr:1_{FB0571A6-DD44-45C0-B4D7-27886E5B123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O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1" l="1"/>
  <c r="D5" i="1"/>
  <c r="Y5" i="1" s="1"/>
  <c r="D6" i="1"/>
  <c r="Y6" i="1" s="1"/>
  <c r="D7" i="1"/>
  <c r="X7" i="1" s="1"/>
  <c r="D8" i="1"/>
  <c r="Y8" i="1" s="1"/>
  <c r="D9" i="1"/>
  <c r="Y9" i="1" s="1"/>
  <c r="D10" i="1"/>
  <c r="Y10" i="1" s="1"/>
  <c r="D11" i="1"/>
  <c r="Y11" i="1" s="1"/>
  <c r="D12" i="1"/>
  <c r="X12" i="1" s="1"/>
  <c r="D13" i="1"/>
  <c r="X13" i="1" s="1"/>
  <c r="D14" i="1"/>
  <c r="Y14" i="1" s="1"/>
  <c r="D15" i="1"/>
  <c r="Y15" i="1" s="1"/>
  <c r="D16" i="1"/>
  <c r="Y16" i="1" s="1"/>
  <c r="D17" i="1"/>
  <c r="Y17" i="1" s="1"/>
  <c r="D18" i="1"/>
  <c r="Y18" i="1" s="1"/>
  <c r="Y13" i="1" l="1"/>
  <c r="X17" i="1"/>
  <c r="X4" i="1"/>
  <c r="X9" i="1"/>
  <c r="X16" i="1"/>
  <c r="Y12" i="1"/>
  <c r="X8" i="1"/>
  <c r="X15" i="1"/>
  <c r="X11" i="1"/>
  <c r="X5" i="1"/>
  <c r="X18" i="1"/>
  <c r="X14" i="1"/>
  <c r="X10" i="1"/>
  <c r="X6" i="1"/>
  <c r="Y7" i="1"/>
</calcChain>
</file>

<file path=xl/sharedStrings.xml><?xml version="1.0" encoding="utf-8"?>
<sst xmlns="http://schemas.openxmlformats.org/spreadsheetml/2006/main" count="93" uniqueCount="72">
  <si>
    <t>MATRIZ DE RIESGOS</t>
  </si>
  <si>
    <t>PROBABILIDAD</t>
  </si>
  <si>
    <t>MUY ALTA</t>
  </si>
  <si>
    <t>ALTA</t>
  </si>
  <si>
    <t>MEDIA</t>
  </si>
  <si>
    <t>BAJA</t>
  </si>
  <si>
    <t>MUY BAJA</t>
  </si>
  <si>
    <t>RIESGO</t>
  </si>
  <si>
    <t>LEYENDA</t>
  </si>
  <si>
    <t>GRAVEDAD (IMPACTO)</t>
  </si>
  <si>
    <r>
      <t xml:space="preserve">MUY BAJO </t>
    </r>
    <r>
      <rPr>
        <b/>
        <sz val="10"/>
        <rFont val="Arial Narrow"/>
        <family val="2"/>
      </rPr>
      <t>1</t>
    </r>
  </si>
  <si>
    <r>
      <t xml:space="preserve">BAJO         </t>
    </r>
    <r>
      <rPr>
        <b/>
        <sz val="10"/>
        <rFont val="Arial Narrow"/>
        <family val="2"/>
      </rPr>
      <t>2</t>
    </r>
  </si>
  <si>
    <r>
      <t xml:space="preserve">MEDIO        </t>
    </r>
    <r>
      <rPr>
        <b/>
        <sz val="10"/>
        <rFont val="Arial Narrow"/>
        <family val="2"/>
      </rPr>
      <t>3</t>
    </r>
  </si>
  <si>
    <r>
      <t xml:space="preserve">ALTO     </t>
    </r>
    <r>
      <rPr>
        <b/>
        <sz val="10"/>
        <rFont val="Arial Narrow"/>
        <family val="2"/>
      </rPr>
      <t xml:space="preserve"> 4</t>
    </r>
  </si>
  <si>
    <r>
      <t xml:space="preserve">MUY ALTO </t>
    </r>
    <r>
      <rPr>
        <b/>
        <sz val="10"/>
        <rFont val="Arial Narrow"/>
        <family val="2"/>
      </rPr>
      <t>5</t>
    </r>
  </si>
  <si>
    <t xml:space="preserve"> </t>
  </si>
  <si>
    <t>Apetito del Riesgo</t>
  </si>
  <si>
    <t>Tolerancia al riesgo</t>
  </si>
  <si>
    <t>%</t>
  </si>
  <si>
    <t>Se acepta el riesgo según objetivos de negocio</t>
  </si>
  <si>
    <t>+</t>
  </si>
  <si>
    <t>-</t>
  </si>
  <si>
    <t>Apetito al riesgo:</t>
  </si>
  <si>
    <t xml:space="preserve">o de no haber un directorio, la alta gerencia, defina qué tipo y cantidad de riesgo está dispuesto a asumir y cuál no, al </t>
  </si>
  <si>
    <t xml:space="preserve"> Es decir, ¿se está dispuesto a asumir riesgos que puedan tener un alto impacto en la reputación de la </t>
  </si>
  <si>
    <t xml:space="preserve">, hacer negocios.empresa?, ¿Qué tanto riesgo la compañía desea asumir al innovar? ¿es una empresa arriesgada, aversa o </t>
  </si>
  <si>
    <t>neutra en términos de innovación?</t>
  </si>
  <si>
    <r>
      <t>El apetito al riesgo es un concepto que se utiliza </t>
    </r>
    <r>
      <rPr>
        <b/>
        <sz val="10"/>
        <color rgb="FF666666"/>
        <rFont val="Barlow"/>
      </rPr>
      <t>a nivel corporativo y estratégico</t>
    </r>
    <r>
      <rPr>
        <sz val="10"/>
        <color rgb="FF666666"/>
        <rFont val="Barlow"/>
      </rPr>
      <t> para que el Directorio</t>
    </r>
  </si>
  <si>
    <t>Tolerancia al riesgo:</t>
  </si>
  <si>
    <t xml:space="preserve">el delta que hay entre el apetito y la capacidad, que es el concepto que se explica a continuación, es el rango donde se puede </t>
  </si>
  <si>
    <t xml:space="preserve">mover la compañía estando aún en un margen aceptable si bien no óptimo, porque hay tres tipos de apetito, el apetito óptimo, el </t>
  </si>
  <si>
    <t>el apetito tolerable y el apetito actual.</t>
  </si>
  <si>
    <t xml:space="preserve"> Es importante en relación a esto que los enunciados de apetito al riesgo sean factibles o realistas porque puede que en </t>
  </si>
  <si>
    <t>determinado momento no se esté en el apetito óptimo, al que se apunta, pero se debe estar dentro del tolerable.</t>
  </si>
  <si>
    <t xml:space="preserve">Ejemplo el óptimo es 1 pero el tolerable es 2. Y el actual debería ser 1 o 2 pero transitoriamente podría estar en 3 o 4 por alguna </t>
  </si>
  <si>
    <r>
      <t>La tolerancia es el </t>
    </r>
    <r>
      <rPr>
        <b/>
        <sz val="11"/>
        <color rgb="FF666666"/>
        <rFont val="Barlow"/>
      </rPr>
      <t>rango aceptable de variación que puede haber en torno al apetito</t>
    </r>
    <r>
      <rPr>
        <sz val="11"/>
        <color rgb="FF666666"/>
        <rFont val="Barlow"/>
      </rPr>
      <t>, es decir</t>
    </r>
    <r>
      <rPr>
        <b/>
        <sz val="11"/>
        <color rgb="FF666666"/>
        <rFont val="Barlow"/>
      </rPr>
      <t xml:space="preserve">, </t>
    </r>
    <r>
      <rPr>
        <sz val="11"/>
        <color rgb="FF666666"/>
        <rFont val="Barlow"/>
      </rPr>
      <t xml:space="preserve">  </t>
    </r>
  </si>
  <si>
    <t>excepción pero si fuera así hay que trabajar para bajarlo a 1 o 2. La tolerancia se muestra en la siguiente figura</t>
  </si>
  <si>
    <t>Capacidad:</t>
  </si>
  <si>
    <r>
      <t>La capacidad es el </t>
    </r>
    <r>
      <rPr>
        <b/>
        <sz val="11"/>
        <color rgb="FF666666"/>
        <rFont val="Barlow"/>
      </rPr>
      <t>máximo riesgo que puede asumir la compañía en determinada área</t>
    </r>
    <r>
      <rPr>
        <sz val="11"/>
        <color rgb="FF666666"/>
        <rFont val="Barlow"/>
      </rPr>
      <t>. Es el límite. Si se excede la capacidad la compañía deja de ser viable. </t>
    </r>
  </si>
  <si>
    <t>Entonces la capacidad busca definir el límite máximo, es decir, hay una tolerancia pero ¿hasta dónde llega la tolerancia? Eso define la capacidad</t>
  </si>
  <si>
    <t xml:space="preserve">se consideran al planificar el tratamiento del riesgo, luego que se </t>
  </si>
  <si>
    <t>ha hecho la evaluación del mismo.</t>
  </si>
  <si>
    <t xml:space="preserve">Son conceptos diferentes. El apetito con su tolerancia y capacidad </t>
  </si>
  <si>
    <t xml:space="preserve">Tanto el apetito como la tolerancia y la capacidad no se deben confundir </t>
  </si>
  <si>
    <t>con la matriz o tabla de evaluación de probabilidad o impacto, o con el mapa de calor.</t>
  </si>
  <si>
    <t>RIESGO CIBERNÉTICO</t>
  </si>
  <si>
    <t xml:space="preserve">En términos generales, el apetito de riesgo es el nivel de riesgo que una organización está dispuesta a asumir para lograr sus objetivos. </t>
  </si>
  <si>
    <t>Por lo tanto, el apetito por el riesgo cibernético es muy similar, pero específico para los peligros relacionados con el ciberespacio</t>
  </si>
  <si>
    <t xml:space="preserve"> - por ejemplo, mantener la confidencialidad de los datos de los clientes.</t>
  </si>
  <si>
    <t xml:space="preserve"> Implica identificar amenazas y vulnerabilidades potenciales en los sistemas y redes </t>
  </si>
  <si>
    <t>El riesgo de ciberseguridad es el potencial de exposición o pérdida resultante de un ciberataque</t>
  </si>
  <si>
    <t xml:space="preserve">mientras que la gestión de riesgos de TI comúnmente </t>
  </si>
  <si>
    <t xml:space="preserve">En resumen, la ciberseguridad comúnmente se ocupa de vulnerabilidades y riesgos cibernéticos, </t>
  </si>
  <si>
    <t>se ocupa de cómo se protegen y administran los datos, dispositivos, redes y activos de una organización.</t>
  </si>
  <si>
    <t xml:space="preserve"> o violación de datos en su organización digital .</t>
  </si>
  <si>
    <t>Libro blanco del CISO</t>
  </si>
  <si>
    <t>Libro blanco del CISO:</t>
  </si>
  <si>
    <t xml:space="preserve"> APO14.01 Definir y comunicar la estrategia y los roles y responsabilidades de la gestión de datos de la organización</t>
  </si>
  <si>
    <t xml:space="preserve"> APO14.02 Definir y mantener un glosario empresarial consistente.</t>
  </si>
  <si>
    <t xml:space="preserve"> APO14.03 Establecer los procesos y la infraestructura para la gestión de 
metadatos.</t>
  </si>
  <si>
    <t xml:space="preserve">APO14.04 Definir una estrategia de calidad de los datos.
 </t>
  </si>
  <si>
    <t xml:space="preserve"> APO14.05 Establecer las metodologías, procesos y herramientas para la 
creación de perfiles de datos.</t>
  </si>
  <si>
    <t xml:space="preserve">APO14.06 Asegurar un enfoque de evaluación de la calidad de los datos.
 </t>
  </si>
  <si>
    <t>APO14.07 Definir la estrategia de depuración de datos.</t>
  </si>
  <si>
    <t>APO14.08 Gestionar el ciclo de vida de los activos de datos.</t>
  </si>
  <si>
    <t>APO14.09 Soportar el archivo y retención de datos.</t>
  </si>
  <si>
    <t>APO14.10 Gestionar los acuerdos de toma de copia de seguridad y restauración de datos.</t>
  </si>
  <si>
    <t>Importante</t>
  </si>
  <si>
    <t>Apreciable</t>
  </si>
  <si>
    <t>Muy grave</t>
  </si>
  <si>
    <t>No se acepta el riesgo según objetivos de negocio</t>
  </si>
  <si>
    <t xml:space="preserve"> Se acepta el riesgo según objetivos de negocio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</si>
</sst>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0"/>
      <name val="Arial"/>
    </font>
    <font>
      <sz val="10"/>
      <name val="Arial"/>
      <family val="2"/>
    </font>
    <font>
      <sz val="10"/>
      <name val="Arial Narrow"/>
      <family val="2"/>
    </font>
    <font>
      <b/>
      <sz val="12"/>
      <name val="Arial"/>
      <family val="2"/>
    </font>
    <font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0"/>
      <name val="Arial Narrow"/>
      <family val="2"/>
    </font>
    <font>
      <sz val="10"/>
      <name val="Arial"/>
      <family val="2"/>
    </font>
    <font>
      <b/>
      <sz val="16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</font>
    <font>
      <sz val="18"/>
      <name val="Arial"/>
      <family val="2"/>
    </font>
    <font>
      <sz val="11"/>
      <color rgb="FF666666"/>
      <name val="Barlow"/>
    </font>
    <font>
      <b/>
      <sz val="11"/>
      <color rgb="FF666666"/>
      <name val="Barlow"/>
    </font>
    <font>
      <sz val="10"/>
      <color rgb="FF666666"/>
      <name val="Barlow"/>
    </font>
    <font>
      <b/>
      <sz val="10"/>
      <color rgb="FF666666"/>
      <name val="Barlow"/>
    </font>
    <font>
      <b/>
      <i/>
      <sz val="11"/>
      <color rgb="FF666666"/>
      <name val="Barlow"/>
    </font>
    <font>
      <b/>
      <sz val="22"/>
      <name val="Arial"/>
      <family val="2"/>
    </font>
    <font>
      <u/>
      <sz val="10"/>
      <color theme="10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71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1" xfId="0" applyFont="1" applyBorder="1" applyAlignment="1">
      <alignment horizont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justify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10" fillId="2" borderId="1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0" fillId="0" borderId="5" xfId="0" applyBorder="1"/>
    <xf numFmtId="0" fontId="11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6" fillId="9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0" fillId="0" borderId="15" xfId="0" applyBorder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6" fillId="0" borderId="0" xfId="0" applyFont="1"/>
    <xf numFmtId="0" fontId="19" fillId="0" borderId="16" xfId="0" applyFont="1" applyBorder="1"/>
    <xf numFmtId="0" fontId="6" fillId="0" borderId="17" xfId="0" applyFont="1" applyBorder="1"/>
    <xf numFmtId="0" fontId="6" fillId="0" borderId="18" xfId="0" applyFont="1" applyBorder="1"/>
    <xf numFmtId="0" fontId="19" fillId="0" borderId="19" xfId="0" applyFont="1" applyBorder="1"/>
    <xf numFmtId="0" fontId="6" fillId="0" borderId="20" xfId="0" applyFont="1" applyBorder="1"/>
    <xf numFmtId="0" fontId="19" fillId="0" borderId="21" xfId="0" applyFont="1" applyBorder="1"/>
    <xf numFmtId="0" fontId="6" fillId="0" borderId="22" xfId="0" applyFont="1" applyBorder="1"/>
    <xf numFmtId="0" fontId="6" fillId="0" borderId="23" xfId="0" applyFont="1" applyBorder="1"/>
    <xf numFmtId="0" fontId="3" fillId="0" borderId="16" xfId="0" applyFont="1" applyBorder="1"/>
    <xf numFmtId="0" fontId="0" fillId="0" borderId="17" xfId="0" applyBorder="1"/>
    <xf numFmtId="0" fontId="0" fillId="0" borderId="18" xfId="0" applyBorder="1"/>
    <xf numFmtId="0" fontId="17" fillId="0" borderId="19" xfId="0" applyFont="1" applyBorder="1"/>
    <xf numFmtId="0" fontId="0" fillId="0" borderId="20" xfId="0" applyBorder="1"/>
    <xf numFmtId="0" fontId="1" fillId="0" borderId="19" xfId="0" applyFont="1" applyBorder="1"/>
    <xf numFmtId="0" fontId="1" fillId="0" borderId="21" xfId="0" applyFont="1" applyBorder="1"/>
    <xf numFmtId="0" fontId="0" fillId="0" borderId="22" xfId="0" applyBorder="1"/>
    <xf numFmtId="0" fontId="0" fillId="0" borderId="23" xfId="0" applyBorder="1"/>
    <xf numFmtId="0" fontId="15" fillId="0" borderId="19" xfId="0" applyFont="1" applyBorder="1"/>
    <xf numFmtId="0" fontId="0" fillId="0" borderId="19" xfId="0" applyBorder="1"/>
    <xf numFmtId="0" fontId="0" fillId="0" borderId="21" xfId="0" applyBorder="1"/>
    <xf numFmtId="0" fontId="0" fillId="0" borderId="16" xfId="0" applyBorder="1"/>
    <xf numFmtId="0" fontId="20" fillId="0" borderId="19" xfId="0" applyFont="1" applyBorder="1"/>
    <xf numFmtId="0" fontId="21" fillId="0" borderId="0" xfId="1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8</xdr:row>
      <xdr:rowOff>63500</xdr:rowOff>
    </xdr:from>
    <xdr:to>
      <xdr:col>13</xdr:col>
      <xdr:colOff>622300</xdr:colOff>
      <xdr:row>20</xdr:row>
      <xdr:rowOff>139700</xdr:rowOff>
    </xdr:to>
    <xdr:grpSp>
      <xdr:nvGrpSpPr>
        <xdr:cNvPr id="1272" name="Group 101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GrpSpPr>
          <a:grpSpLocks/>
        </xdr:cNvGrpSpPr>
      </xdr:nvGrpSpPr>
      <xdr:grpSpPr bwMode="auto">
        <a:xfrm>
          <a:off x="5081814" y="4472214"/>
          <a:ext cx="4442823" cy="4572000"/>
          <a:chOff x="118" y="432"/>
          <a:chExt cx="570" cy="160"/>
        </a:xfrm>
      </xdr:grpSpPr>
      <xdr:sp macro="" textlink="">
        <xdr:nvSpPr>
          <xdr:cNvPr id="1277" name="Rectangle 94">
            <a:extLst>
              <a:ext uri="{FF2B5EF4-FFF2-40B4-BE49-F238E27FC236}">
                <a16:creationId xmlns:a16="http://schemas.microsoft.com/office/drawing/2014/main" id="{00000000-0008-0000-0000-0000FD040000}"/>
              </a:ext>
            </a:extLst>
          </xdr:cNvPr>
          <xdr:cNvSpPr>
            <a:spLocks noChangeArrowheads="1"/>
          </xdr:cNvSpPr>
        </xdr:nvSpPr>
        <xdr:spPr bwMode="auto">
          <a:xfrm>
            <a:off x="118" y="432"/>
            <a:ext cx="88" cy="4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13" name="Text Box 89">
            <a:extLst>
              <a:ext uri="{FF2B5EF4-FFF2-40B4-BE49-F238E27FC236}">
                <a16:creationId xmlns:a16="http://schemas.microsoft.com/office/drawing/2014/main" id="{00000000-0008-0000-0000-000059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6" y="432"/>
            <a:ext cx="482" cy="4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18000" tIns="10800" rIns="18000" bIns="10800" anchor="ctr" upright="1"/>
          <a:lstStyle/>
          <a:p>
            <a:pPr algn="l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 Narrow"/>
              </a:rPr>
              <a:t>Riesgo muy grave. Requiere </a:t>
            </a:r>
            <a:r>
              <a:rPr lang="es-ES" sz="1000" b="1" i="0" u="none" strike="noStrike" baseline="0">
                <a:solidFill>
                  <a:srgbClr val="000000"/>
                </a:solidFill>
                <a:latin typeface="Arial Narrow"/>
              </a:rPr>
              <a:t>medidas preventivas urgentes</a:t>
            </a:r>
            <a:r>
              <a:rPr lang="es-ES" sz="1000" b="0" i="0" u="none" strike="noStrike" baseline="0">
                <a:solidFill>
                  <a:srgbClr val="000000"/>
                </a:solidFill>
                <a:latin typeface="Arial Narrow"/>
              </a:rPr>
              <a:t>. No se debe iniciar el proyecto sin la aplicación de medidas preventivas urgentes y sin acotar sólidamente el riesgo.</a:t>
            </a:r>
          </a:p>
        </xdr:txBody>
      </xdr:sp>
      <xdr:sp macro="" textlink="">
        <xdr:nvSpPr>
          <xdr:cNvPr id="1114" name="Text Box 90">
            <a:extLst>
              <a:ext uri="{FF2B5EF4-FFF2-40B4-BE49-F238E27FC236}">
                <a16:creationId xmlns:a16="http://schemas.microsoft.com/office/drawing/2014/main" id="{00000000-0008-0000-0000-00005A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6" y="472"/>
            <a:ext cx="482" cy="4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18000" tIns="10800" rIns="18000" bIns="10800" anchor="ctr" upright="1"/>
          <a:lstStyle/>
          <a:p>
            <a:pPr algn="l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 Narrow"/>
              </a:rPr>
              <a:t>Riesgo importante. </a:t>
            </a:r>
            <a:r>
              <a:rPr lang="es-ES" sz="1000" b="1" i="0" u="none" strike="noStrike" baseline="0">
                <a:solidFill>
                  <a:srgbClr val="000000"/>
                </a:solidFill>
                <a:latin typeface="Arial Narrow"/>
              </a:rPr>
              <a:t>Medidas preventivas obligatorias</a:t>
            </a:r>
            <a:r>
              <a:rPr lang="es-ES" sz="1000" b="0" i="0" u="none" strike="noStrike" baseline="0">
                <a:solidFill>
                  <a:srgbClr val="000000"/>
                </a:solidFill>
                <a:latin typeface="Arial Narrow"/>
              </a:rPr>
              <a:t>. Se deben controlar fuertemente llas variables de riesgo durante el proyecto.</a:t>
            </a:r>
          </a:p>
        </xdr:txBody>
      </xdr:sp>
      <xdr:sp macro="" textlink="">
        <xdr:nvSpPr>
          <xdr:cNvPr id="1115" name="Text Box 91">
            <a:extLst>
              <a:ext uri="{FF2B5EF4-FFF2-40B4-BE49-F238E27FC236}">
                <a16:creationId xmlns:a16="http://schemas.microsoft.com/office/drawing/2014/main" id="{00000000-0008-0000-0000-00005B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6" y="512"/>
            <a:ext cx="482" cy="4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18000" tIns="10800" rIns="18000" bIns="10800" anchor="ctr" upright="1"/>
          <a:lstStyle/>
          <a:p>
            <a:pPr algn="l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 Narrow"/>
              </a:rPr>
              <a:t>Riesgo apreciable. Estudiar económicamente ai es posible </a:t>
            </a:r>
            <a:r>
              <a:rPr lang="es-ES" sz="1000" b="1" i="0" u="none" strike="noStrike" baseline="0">
                <a:solidFill>
                  <a:srgbClr val="000000"/>
                </a:solidFill>
                <a:latin typeface="Arial Narrow"/>
              </a:rPr>
              <a:t>introducir medidas preventivas</a:t>
            </a:r>
            <a:r>
              <a:rPr lang="es-ES" sz="1000" b="0" i="0" u="none" strike="noStrike" baseline="0">
                <a:solidFill>
                  <a:srgbClr val="000000"/>
                </a:solidFill>
                <a:latin typeface="Arial Narrow"/>
              </a:rPr>
              <a:t> para reducir el nivel de riesgo. Si no fuera posible, mantener las variables controladas.</a:t>
            </a:r>
          </a:p>
        </xdr:txBody>
      </xdr:sp>
      <xdr:sp macro="" textlink="">
        <xdr:nvSpPr>
          <xdr:cNvPr id="1116" name="Text Box 92">
            <a:extLst>
              <a:ext uri="{FF2B5EF4-FFF2-40B4-BE49-F238E27FC236}">
                <a16:creationId xmlns:a16="http://schemas.microsoft.com/office/drawing/2014/main" id="{00000000-0008-0000-0000-00005C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6" y="552"/>
            <a:ext cx="482" cy="4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18000" tIns="10800" rIns="18000" bIns="10800" anchor="ctr" upright="1"/>
          <a:lstStyle/>
          <a:p>
            <a:pPr algn="l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 Narrow"/>
              </a:rPr>
              <a:t>Riesgo marginal.Se vigilará aunque no requiere </a:t>
            </a:r>
            <a:r>
              <a:rPr lang="es-ES" sz="1000" b="1" i="0" u="none" strike="noStrike" baseline="0">
                <a:solidFill>
                  <a:srgbClr val="000000"/>
                </a:solidFill>
                <a:latin typeface="Arial Narrow"/>
              </a:rPr>
              <a:t>medidas preventivas </a:t>
            </a:r>
            <a:r>
              <a:rPr lang="es-ES" sz="1000" b="0" i="0" u="none" strike="noStrike" baseline="0">
                <a:solidFill>
                  <a:srgbClr val="000000"/>
                </a:solidFill>
                <a:latin typeface="Arial Narrow"/>
              </a:rPr>
              <a:t>de partida.</a:t>
            </a:r>
          </a:p>
        </xdr:txBody>
      </xdr:sp>
      <xdr:sp macro="" textlink="">
        <xdr:nvSpPr>
          <xdr:cNvPr id="1282" name="Rectangle 93">
            <a:extLst>
              <a:ext uri="{FF2B5EF4-FFF2-40B4-BE49-F238E27FC236}">
                <a16:creationId xmlns:a16="http://schemas.microsoft.com/office/drawing/2014/main" id="{00000000-0008-0000-0000-00000205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441"/>
            <a:ext cx="50" cy="2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283" name="Rectangle 95">
            <a:extLst>
              <a:ext uri="{FF2B5EF4-FFF2-40B4-BE49-F238E27FC236}">
                <a16:creationId xmlns:a16="http://schemas.microsoft.com/office/drawing/2014/main" id="{00000000-0008-0000-0000-000003050000}"/>
              </a:ext>
            </a:extLst>
          </xdr:cNvPr>
          <xdr:cNvSpPr>
            <a:spLocks noChangeArrowheads="1"/>
          </xdr:cNvSpPr>
        </xdr:nvSpPr>
        <xdr:spPr bwMode="auto">
          <a:xfrm>
            <a:off x="118" y="472"/>
            <a:ext cx="88" cy="4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284" name="Rectangle 96">
            <a:extLst>
              <a:ext uri="{FF2B5EF4-FFF2-40B4-BE49-F238E27FC236}">
                <a16:creationId xmlns:a16="http://schemas.microsoft.com/office/drawing/2014/main" id="{00000000-0008-0000-0000-00000405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481"/>
            <a:ext cx="50" cy="2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285" name="Rectangle 97">
            <a:extLst>
              <a:ext uri="{FF2B5EF4-FFF2-40B4-BE49-F238E27FC236}">
                <a16:creationId xmlns:a16="http://schemas.microsoft.com/office/drawing/2014/main" id="{00000000-0008-0000-0000-000005050000}"/>
              </a:ext>
            </a:extLst>
          </xdr:cNvPr>
          <xdr:cNvSpPr>
            <a:spLocks noChangeArrowheads="1"/>
          </xdr:cNvSpPr>
        </xdr:nvSpPr>
        <xdr:spPr bwMode="auto">
          <a:xfrm>
            <a:off x="118" y="512"/>
            <a:ext cx="88" cy="4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286" name="Rectangle 98">
            <a:extLst>
              <a:ext uri="{FF2B5EF4-FFF2-40B4-BE49-F238E27FC236}">
                <a16:creationId xmlns:a16="http://schemas.microsoft.com/office/drawing/2014/main" id="{00000000-0008-0000-0000-00000605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521"/>
            <a:ext cx="50" cy="2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99" mc:Ignorable="a14" a14:legacySpreadsheetColorIndex="4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287" name="Rectangle 99">
            <a:extLst>
              <a:ext uri="{FF2B5EF4-FFF2-40B4-BE49-F238E27FC236}">
                <a16:creationId xmlns:a16="http://schemas.microsoft.com/office/drawing/2014/main" id="{00000000-0008-0000-0000-000007050000}"/>
              </a:ext>
            </a:extLst>
          </xdr:cNvPr>
          <xdr:cNvSpPr>
            <a:spLocks noChangeArrowheads="1"/>
          </xdr:cNvSpPr>
        </xdr:nvSpPr>
        <xdr:spPr bwMode="auto">
          <a:xfrm>
            <a:off x="118" y="552"/>
            <a:ext cx="88" cy="4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288" name="Rectangle 100">
            <a:extLst>
              <a:ext uri="{FF2B5EF4-FFF2-40B4-BE49-F238E27FC236}">
                <a16:creationId xmlns:a16="http://schemas.microsoft.com/office/drawing/2014/main" id="{00000000-0008-0000-0000-00000805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561"/>
            <a:ext cx="50" cy="23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0000" mc:Ignorable="a14" a14:legacySpreadsheetColorIndex="10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9525</xdr:colOff>
      <xdr:row>3</xdr:row>
      <xdr:rowOff>0</xdr:rowOff>
    </xdr:to>
    <xdr:sp macro="" textlink="">
      <xdr:nvSpPr>
        <xdr:cNvPr id="1128" name="Text Box 104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SpPr txBox="1">
          <a:spLocks noChangeArrowheads="1"/>
        </xdr:cNvSpPr>
      </xdr:nvSpPr>
      <xdr:spPr bwMode="auto">
        <a:xfrm>
          <a:off x="2590800" y="809625"/>
          <a:ext cx="62865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s-ES" sz="900" b="1" i="0" u="none" strike="noStrike" baseline="0">
              <a:solidFill>
                <a:srgbClr val="000000"/>
              </a:solidFill>
              <a:latin typeface="Arial Narrow"/>
            </a:rPr>
            <a:t>Probabilidad</a:t>
          </a:r>
        </a:p>
        <a:p>
          <a:pPr algn="ctr" rtl="0">
            <a:defRPr sz="1000"/>
          </a:pPr>
          <a:r>
            <a:rPr lang="es-ES" sz="900" b="1" i="0" u="none" strike="noStrike" baseline="0">
              <a:solidFill>
                <a:srgbClr val="000000"/>
              </a:solidFill>
              <a:latin typeface="Arial Narrow"/>
            </a:rPr>
            <a:t>(Ocurrencia)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9525</xdr:colOff>
      <xdr:row>3</xdr:row>
      <xdr:rowOff>0</xdr:rowOff>
    </xdr:to>
    <xdr:sp macro="" textlink="">
      <xdr:nvSpPr>
        <xdr:cNvPr id="1129" name="Text Box 105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SpPr txBox="1">
          <a:spLocks noChangeArrowheads="1"/>
        </xdr:cNvSpPr>
      </xdr:nvSpPr>
      <xdr:spPr bwMode="auto">
        <a:xfrm>
          <a:off x="3209925" y="809625"/>
          <a:ext cx="52387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s-ES" sz="900" b="1" i="0" u="none" strike="noStrike" baseline="0">
              <a:solidFill>
                <a:srgbClr val="000000"/>
              </a:solidFill>
              <a:latin typeface="Arial Narrow"/>
            </a:rPr>
            <a:t>Gravedad</a:t>
          </a:r>
        </a:p>
        <a:p>
          <a:pPr algn="ctr" rtl="0">
            <a:defRPr sz="1000"/>
          </a:pPr>
          <a:r>
            <a:rPr lang="es-ES" sz="900" b="1" i="0" u="none" strike="noStrike" baseline="0">
              <a:solidFill>
                <a:srgbClr val="000000"/>
              </a:solidFill>
              <a:latin typeface="Arial Narrow"/>
            </a:rPr>
            <a:t>(Impacto)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1130" name="Text Box 106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SpPr txBox="1">
          <a:spLocks noChangeArrowheads="1"/>
        </xdr:cNvSpPr>
      </xdr:nvSpPr>
      <xdr:spPr bwMode="auto">
        <a:xfrm>
          <a:off x="3724275" y="809625"/>
          <a:ext cx="52387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s-ES" sz="900" b="1" i="0" u="none" strike="noStrike" baseline="0">
              <a:solidFill>
                <a:srgbClr val="000000"/>
              </a:solidFill>
              <a:latin typeface="Arial Narrow"/>
            </a:rPr>
            <a:t>Valor del Riesgo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1131" name="Text Box 107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SpPr txBox="1">
          <a:spLocks noChangeArrowheads="1"/>
        </xdr:cNvSpPr>
      </xdr:nvSpPr>
      <xdr:spPr bwMode="auto">
        <a:xfrm>
          <a:off x="4248150" y="809625"/>
          <a:ext cx="61912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s-ES" sz="900" b="1" i="0" u="none" strike="noStrike" baseline="0">
              <a:solidFill>
                <a:srgbClr val="000000"/>
              </a:solidFill>
              <a:latin typeface="Arial Narrow"/>
            </a:rPr>
            <a:t>Nivel de Riesgo</a:t>
          </a:r>
        </a:p>
      </xdr:txBody>
    </xdr:sp>
    <xdr:clientData/>
  </xdr:twoCellAnchor>
  <xdr:twoCellAnchor editAs="oneCell">
    <xdr:from>
      <xdr:col>0</xdr:col>
      <xdr:colOff>30726</xdr:colOff>
      <xdr:row>30</xdr:row>
      <xdr:rowOff>102419</xdr:rowOff>
    </xdr:from>
    <xdr:to>
      <xdr:col>15</xdr:col>
      <xdr:colOff>97401</xdr:colOff>
      <xdr:row>64</xdr:row>
      <xdr:rowOff>78872</xdr:rowOff>
    </xdr:to>
    <xdr:pic>
      <xdr:nvPicPr>
        <xdr:cNvPr id="20" name="Imagen 19" descr="https://lilianabuchtik.com/wp-content/uploads/2021/10/apetitoalriesgo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26" y="5612580"/>
          <a:ext cx="10042320" cy="5804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102420</xdr:colOff>
      <xdr:row>77</xdr:row>
      <xdr:rowOff>10241</xdr:rowOff>
    </xdr:from>
    <xdr:to>
      <xdr:col>7</xdr:col>
      <xdr:colOff>118569</xdr:colOff>
      <xdr:row>89</xdr:row>
      <xdr:rowOff>120036</xdr:rowOff>
    </xdr:to>
    <xdr:pic>
      <xdr:nvPicPr>
        <xdr:cNvPr id="22" name="Imagen 21" descr="https://lilianabuchtik.com/wp-content/uploads/2021/11/Grafico-Smart-Object-Group-1024x361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420" y="13294031"/>
          <a:ext cx="5813084" cy="20762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segunda-edicion-del-libro-blanco-del-ciso-de-isms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B96"/>
  <sheetViews>
    <sheetView showGridLines="0" tabSelected="1" topLeftCell="A37" zoomScale="70" zoomScaleNormal="93" workbookViewId="0">
      <selection activeCell="P9" sqref="P9:V9"/>
    </sheetView>
  </sheetViews>
  <sheetFormatPr baseColWidth="10" defaultRowHeight="13.2" x14ac:dyDescent="0.25"/>
  <cols>
    <col min="1" max="1" width="38.88671875" customWidth="1"/>
    <col min="2" max="2" width="9.33203125" customWidth="1"/>
    <col min="3" max="3" width="7.6640625" customWidth="1"/>
    <col min="4" max="4" width="7.88671875" customWidth="1"/>
    <col min="5" max="5" width="9.33203125" customWidth="1"/>
    <col min="6" max="6" width="1" customWidth="1"/>
    <col min="7" max="7" width="13" customWidth="1"/>
    <col min="8" max="8" width="9.44140625" customWidth="1"/>
    <col min="9" max="9" width="3.44140625" customWidth="1"/>
    <col min="10" max="10" width="8.44140625" customWidth="1"/>
    <col min="11" max="11" width="7.88671875" customWidth="1"/>
    <col min="12" max="12" width="7.44140625" customWidth="1"/>
    <col min="13" max="13" width="6.44140625" customWidth="1"/>
    <col min="14" max="14" width="8.44140625" customWidth="1"/>
  </cols>
  <sheetData>
    <row r="1" spans="1:25" ht="43.5" customHeight="1" thickBot="1" x14ac:dyDescent="0.3">
      <c r="A1" s="55" t="s">
        <v>0</v>
      </c>
      <c r="B1" s="56"/>
      <c r="C1" s="56"/>
      <c r="D1" s="56"/>
      <c r="E1" s="57"/>
      <c r="G1" s="64" t="s">
        <v>8</v>
      </c>
      <c r="H1" s="65"/>
      <c r="I1" s="65"/>
      <c r="J1" s="65"/>
      <c r="K1" s="65"/>
      <c r="L1" s="65"/>
      <c r="M1" s="65"/>
      <c r="N1" s="65"/>
      <c r="O1" s="64" t="s">
        <v>16</v>
      </c>
      <c r="P1" s="65"/>
      <c r="Q1" s="65"/>
      <c r="R1" s="65"/>
      <c r="S1" s="65"/>
      <c r="T1" s="65"/>
      <c r="U1" s="65"/>
      <c r="V1" s="66"/>
      <c r="W1" s="64" t="s">
        <v>17</v>
      </c>
      <c r="X1" s="65"/>
      <c r="Y1" s="66"/>
    </row>
    <row r="2" spans="1:25" ht="20.25" customHeight="1" x14ac:dyDescent="0.25">
      <c r="F2" s="3"/>
      <c r="J2" s="58" t="s">
        <v>9</v>
      </c>
      <c r="K2" s="59"/>
      <c r="L2" s="59"/>
      <c r="M2" s="59"/>
      <c r="N2" s="60"/>
      <c r="V2" s="27"/>
      <c r="Y2" s="19"/>
    </row>
    <row r="3" spans="1:25" ht="30" customHeight="1" x14ac:dyDescent="0.4">
      <c r="A3" s="2" t="s">
        <v>7</v>
      </c>
      <c r="J3" s="12" t="s">
        <v>10</v>
      </c>
      <c r="K3" s="12" t="s">
        <v>11</v>
      </c>
      <c r="L3" s="12" t="s">
        <v>12</v>
      </c>
      <c r="M3" s="12" t="s">
        <v>13</v>
      </c>
      <c r="N3" s="12" t="s">
        <v>14</v>
      </c>
      <c r="V3" s="19"/>
      <c r="W3" s="20" t="s">
        <v>18</v>
      </c>
      <c r="X3" s="22" t="s">
        <v>20</v>
      </c>
      <c r="Y3" s="23" t="s">
        <v>21</v>
      </c>
    </row>
    <row r="4" spans="1:25" ht="63" customHeight="1" x14ac:dyDescent="0.3">
      <c r="A4" s="28" t="s">
        <v>57</v>
      </c>
      <c r="B4" s="28">
        <v>3</v>
      </c>
      <c r="C4" s="28">
        <v>3</v>
      </c>
      <c r="D4" s="6">
        <v>9</v>
      </c>
      <c r="E4" s="53" t="s">
        <v>67</v>
      </c>
      <c r="G4" s="61" t="s">
        <v>1</v>
      </c>
      <c r="H4" s="11" t="s">
        <v>2</v>
      </c>
      <c r="I4" s="4">
        <v>5</v>
      </c>
      <c r="J4" s="7">
        <v>5</v>
      </c>
      <c r="K4" s="8">
        <v>10</v>
      </c>
      <c r="L4" s="9">
        <v>15</v>
      </c>
      <c r="M4" s="9">
        <v>20</v>
      </c>
      <c r="N4" s="15">
        <v>25</v>
      </c>
      <c r="O4" s="25"/>
      <c r="P4" s="70" t="s">
        <v>70</v>
      </c>
      <c r="Q4" s="67"/>
      <c r="R4" s="67"/>
      <c r="S4" s="67"/>
      <c r="T4" s="67"/>
      <c r="U4" s="67"/>
      <c r="V4" s="68"/>
      <c r="W4" s="21">
        <v>40</v>
      </c>
      <c r="X4" s="21">
        <f t="shared" ref="X4:X18" si="0">+IF(D4&lt;&gt;0,INT(W4+(W4*0.1)),0)</f>
        <v>44</v>
      </c>
      <c r="Y4" s="21">
        <f t="shared" ref="Y4:Y18" si="1">+IF(D4&lt;&gt;0,INT(W4-(W4*0.1)),0)</f>
        <v>36</v>
      </c>
    </row>
    <row r="5" spans="1:25" ht="38.4" customHeight="1" x14ac:dyDescent="0.3">
      <c r="A5" s="28" t="s">
        <v>58</v>
      </c>
      <c r="B5" s="28">
        <v>2</v>
      </c>
      <c r="C5" s="28">
        <v>3</v>
      </c>
      <c r="D5" s="6">
        <f t="shared" ref="D5:D18" si="2">+B5*C5</f>
        <v>6</v>
      </c>
      <c r="E5" s="53" t="s">
        <v>68</v>
      </c>
      <c r="G5" s="62"/>
      <c r="H5" s="11" t="s">
        <v>3</v>
      </c>
      <c r="I5" s="4">
        <v>4</v>
      </c>
      <c r="J5" s="7">
        <v>4</v>
      </c>
      <c r="K5" s="7">
        <v>8</v>
      </c>
      <c r="L5" s="8">
        <v>12</v>
      </c>
      <c r="M5" s="9">
        <v>16</v>
      </c>
      <c r="N5" s="15">
        <v>20</v>
      </c>
      <c r="O5" s="25"/>
      <c r="P5" s="70" t="s">
        <v>19</v>
      </c>
      <c r="Q5" s="67"/>
      <c r="R5" s="67"/>
      <c r="S5" s="67"/>
      <c r="T5" s="67"/>
      <c r="U5" s="67"/>
      <c r="V5" s="68"/>
      <c r="W5" s="21">
        <v>60</v>
      </c>
      <c r="X5" s="21">
        <f t="shared" si="0"/>
        <v>66</v>
      </c>
      <c r="Y5" s="21">
        <f t="shared" si="1"/>
        <v>54</v>
      </c>
    </row>
    <row r="6" spans="1:25" ht="62.4" customHeight="1" x14ac:dyDescent="0.3">
      <c r="A6" s="28" t="s">
        <v>59</v>
      </c>
      <c r="B6" s="28">
        <v>4</v>
      </c>
      <c r="C6" s="28">
        <v>4</v>
      </c>
      <c r="D6" s="6">
        <f t="shared" si="2"/>
        <v>16</v>
      </c>
      <c r="E6" s="53" t="s">
        <v>69</v>
      </c>
      <c r="G6" s="62"/>
      <c r="H6" s="11" t="s">
        <v>4</v>
      </c>
      <c r="I6" s="4">
        <v>3</v>
      </c>
      <c r="J6" s="7">
        <v>3</v>
      </c>
      <c r="K6" s="7">
        <v>6</v>
      </c>
      <c r="L6" s="8">
        <v>9</v>
      </c>
      <c r="M6" s="8">
        <v>12</v>
      </c>
      <c r="N6" s="15">
        <v>15</v>
      </c>
      <c r="O6" s="24"/>
      <c r="P6" s="70" t="s">
        <v>70</v>
      </c>
      <c r="Q6" s="67"/>
      <c r="R6" s="67"/>
      <c r="S6" s="67"/>
      <c r="T6" s="67"/>
      <c r="U6" s="67"/>
      <c r="V6" s="68"/>
      <c r="W6" s="21">
        <v>20</v>
      </c>
      <c r="X6" s="21">
        <f t="shared" si="0"/>
        <v>22</v>
      </c>
      <c r="Y6" s="21">
        <f t="shared" si="1"/>
        <v>18</v>
      </c>
    </row>
    <row r="7" spans="1:25" ht="39.6" x14ac:dyDescent="0.3">
      <c r="A7" s="28" t="s">
        <v>60</v>
      </c>
      <c r="B7" s="28">
        <v>3</v>
      </c>
      <c r="C7" s="28">
        <v>2</v>
      </c>
      <c r="D7" s="6">
        <f t="shared" si="2"/>
        <v>6</v>
      </c>
      <c r="E7" s="53" t="s">
        <v>68</v>
      </c>
      <c r="G7" s="62"/>
      <c r="H7" s="11" t="s">
        <v>5</v>
      </c>
      <c r="I7" s="4">
        <v>2</v>
      </c>
      <c r="J7" s="10">
        <v>2</v>
      </c>
      <c r="K7" s="7">
        <v>4</v>
      </c>
      <c r="L7" s="7">
        <v>6</v>
      </c>
      <c r="M7" s="7">
        <v>8</v>
      </c>
      <c r="N7" s="16">
        <v>12</v>
      </c>
      <c r="O7" s="25"/>
      <c r="P7" s="70" t="s">
        <v>19</v>
      </c>
      <c r="Q7" s="67"/>
      <c r="R7" s="67"/>
      <c r="S7" s="67"/>
      <c r="T7" s="67"/>
      <c r="U7" s="67"/>
      <c r="V7" s="68"/>
      <c r="W7" s="21">
        <v>70</v>
      </c>
      <c r="X7" s="21">
        <f t="shared" si="0"/>
        <v>77</v>
      </c>
      <c r="Y7" s="21">
        <f t="shared" si="1"/>
        <v>63</v>
      </c>
    </row>
    <row r="8" spans="1:25" ht="50.4" customHeight="1" x14ac:dyDescent="0.3">
      <c r="A8" s="28" t="s">
        <v>61</v>
      </c>
      <c r="B8" s="28">
        <v>5</v>
      </c>
      <c r="C8" s="28">
        <v>4</v>
      </c>
      <c r="D8" s="6">
        <f t="shared" si="2"/>
        <v>20</v>
      </c>
      <c r="E8" s="53" t="s">
        <v>69</v>
      </c>
      <c r="G8" s="63"/>
      <c r="H8" s="11" t="s">
        <v>6</v>
      </c>
      <c r="I8" s="4">
        <v>1</v>
      </c>
      <c r="J8" s="10">
        <v>1</v>
      </c>
      <c r="K8" s="10">
        <v>2</v>
      </c>
      <c r="L8" s="7">
        <v>3</v>
      </c>
      <c r="M8" s="7">
        <v>4</v>
      </c>
      <c r="N8" s="17">
        <v>5</v>
      </c>
      <c r="O8" s="25"/>
      <c r="P8" s="70" t="s">
        <v>70</v>
      </c>
      <c r="Q8" s="67"/>
      <c r="R8" s="67"/>
      <c r="S8" s="67"/>
      <c r="T8" s="67"/>
      <c r="U8" s="67"/>
      <c r="V8" s="68"/>
      <c r="W8" s="21">
        <v>10</v>
      </c>
      <c r="X8" s="21">
        <f t="shared" si="0"/>
        <v>11</v>
      </c>
      <c r="Y8" s="21">
        <f t="shared" si="1"/>
        <v>9</v>
      </c>
    </row>
    <row r="9" spans="1:25" ht="55.2" customHeight="1" x14ac:dyDescent="0.25">
      <c r="A9" s="28" t="s">
        <v>62</v>
      </c>
      <c r="B9" s="28">
        <v>3</v>
      </c>
      <c r="C9" s="28">
        <v>2</v>
      </c>
      <c r="D9" s="6">
        <f t="shared" si="2"/>
        <v>6</v>
      </c>
      <c r="E9" s="53" t="s">
        <v>68</v>
      </c>
      <c r="O9" s="25"/>
      <c r="P9" s="70" t="s">
        <v>71</v>
      </c>
      <c r="Q9" s="67"/>
      <c r="R9" s="67"/>
      <c r="S9" s="67"/>
      <c r="T9" s="67"/>
      <c r="U9" s="67"/>
      <c r="V9" s="68"/>
      <c r="W9" s="21">
        <v>60</v>
      </c>
      <c r="X9" s="21">
        <f t="shared" si="0"/>
        <v>66</v>
      </c>
      <c r="Y9" s="21">
        <f t="shared" si="1"/>
        <v>54</v>
      </c>
    </row>
    <row r="10" spans="1:25" ht="57.6" customHeight="1" x14ac:dyDescent="0.25">
      <c r="A10" s="54" t="s">
        <v>63</v>
      </c>
      <c r="B10" s="28">
        <v>5</v>
      </c>
      <c r="C10" s="28">
        <v>4</v>
      </c>
      <c r="D10" s="6">
        <f t="shared" si="2"/>
        <v>20</v>
      </c>
      <c r="E10" s="53" t="s">
        <v>69</v>
      </c>
      <c r="O10" s="25"/>
      <c r="P10" s="70" t="s">
        <v>70</v>
      </c>
      <c r="Q10" s="67"/>
      <c r="R10" s="67"/>
      <c r="S10" s="67"/>
      <c r="T10" s="67"/>
      <c r="U10" s="67"/>
      <c r="V10" s="68"/>
      <c r="W10" s="21">
        <v>10</v>
      </c>
      <c r="X10" s="21">
        <f t="shared" si="0"/>
        <v>11</v>
      </c>
      <c r="Y10" s="21">
        <f t="shared" si="1"/>
        <v>9</v>
      </c>
    </row>
    <row r="11" spans="1:25" ht="61.8" customHeight="1" x14ac:dyDescent="0.25">
      <c r="A11" s="54" t="s">
        <v>64</v>
      </c>
      <c r="B11" s="28">
        <v>4</v>
      </c>
      <c r="C11" s="28">
        <v>4</v>
      </c>
      <c r="D11" s="6">
        <f t="shared" si="2"/>
        <v>16</v>
      </c>
      <c r="E11" s="53" t="s">
        <v>69</v>
      </c>
      <c r="O11" s="25"/>
      <c r="P11" s="70" t="s">
        <v>70</v>
      </c>
      <c r="Q11" s="67"/>
      <c r="R11" s="67"/>
      <c r="S11" s="67"/>
      <c r="T11" s="67"/>
      <c r="U11" s="67"/>
      <c r="V11" s="68"/>
      <c r="W11" s="21">
        <v>20</v>
      </c>
      <c r="X11" s="21">
        <f t="shared" si="0"/>
        <v>22</v>
      </c>
      <c r="Y11" s="21">
        <f t="shared" si="1"/>
        <v>18</v>
      </c>
    </row>
    <row r="12" spans="1:25" ht="43.8" customHeight="1" x14ac:dyDescent="0.25">
      <c r="A12" s="54" t="s">
        <v>65</v>
      </c>
      <c r="B12" s="28">
        <v>2</v>
      </c>
      <c r="C12" s="28">
        <v>5</v>
      </c>
      <c r="D12" s="6">
        <f t="shared" si="2"/>
        <v>10</v>
      </c>
      <c r="E12" s="53" t="s">
        <v>68</v>
      </c>
      <c r="O12" s="25"/>
      <c r="P12" s="70" t="s">
        <v>19</v>
      </c>
      <c r="Q12" s="67"/>
      <c r="R12" s="67"/>
      <c r="S12" s="67"/>
      <c r="T12" s="67"/>
      <c r="U12" s="67"/>
      <c r="V12" s="68"/>
      <c r="W12" s="21">
        <v>75</v>
      </c>
      <c r="X12" s="21">
        <f t="shared" si="0"/>
        <v>82</v>
      </c>
      <c r="Y12" s="21">
        <f t="shared" si="1"/>
        <v>67</v>
      </c>
    </row>
    <row r="13" spans="1:25" ht="45" customHeight="1" x14ac:dyDescent="0.25">
      <c r="A13" s="54" t="s">
        <v>66</v>
      </c>
      <c r="B13" s="28">
        <v>4</v>
      </c>
      <c r="C13" s="28">
        <v>5</v>
      </c>
      <c r="D13" s="6">
        <f t="shared" si="2"/>
        <v>20</v>
      </c>
      <c r="E13" s="53" t="s">
        <v>69</v>
      </c>
      <c r="O13" s="26"/>
      <c r="P13" s="70" t="s">
        <v>70</v>
      </c>
      <c r="Q13" s="67"/>
      <c r="R13" s="67"/>
      <c r="S13" s="67"/>
      <c r="T13" s="67"/>
      <c r="U13" s="67"/>
      <c r="V13" s="68"/>
      <c r="W13" s="21">
        <v>10</v>
      </c>
      <c r="X13" s="21">
        <f t="shared" si="0"/>
        <v>11</v>
      </c>
      <c r="Y13" s="21">
        <f t="shared" si="1"/>
        <v>9</v>
      </c>
    </row>
    <row r="14" spans="1:25" x14ac:dyDescent="0.25">
      <c r="A14" s="13"/>
      <c r="B14" s="28">
        <v>0</v>
      </c>
      <c r="C14" s="28">
        <v>0</v>
      </c>
      <c r="D14" s="6">
        <f t="shared" si="2"/>
        <v>0</v>
      </c>
      <c r="E14" s="14" t="s">
        <v>15</v>
      </c>
      <c r="O14" s="25"/>
      <c r="P14" s="69"/>
      <c r="Q14" s="67"/>
      <c r="R14" s="67"/>
      <c r="S14" s="67"/>
      <c r="T14" s="67"/>
      <c r="U14" s="67"/>
      <c r="V14" s="68"/>
      <c r="W14" s="21">
        <v>0</v>
      </c>
      <c r="X14" s="21">
        <f t="shared" si="0"/>
        <v>0</v>
      </c>
      <c r="Y14" s="21">
        <f t="shared" si="1"/>
        <v>0</v>
      </c>
    </row>
    <row r="15" spans="1:25" x14ac:dyDescent="0.25">
      <c r="A15" s="5"/>
      <c r="B15" s="28">
        <v>0</v>
      </c>
      <c r="C15" s="28">
        <v>0</v>
      </c>
      <c r="D15" s="6">
        <f t="shared" si="2"/>
        <v>0</v>
      </c>
      <c r="E15" s="14" t="s">
        <v>15</v>
      </c>
      <c r="O15" s="25"/>
      <c r="P15" s="69"/>
      <c r="Q15" s="67"/>
      <c r="R15" s="67"/>
      <c r="S15" s="67"/>
      <c r="T15" s="67"/>
      <c r="U15" s="67"/>
      <c r="V15" s="68"/>
      <c r="W15" s="21">
        <v>0</v>
      </c>
      <c r="X15" s="21">
        <f t="shared" si="0"/>
        <v>0</v>
      </c>
      <c r="Y15" s="21">
        <f t="shared" si="1"/>
        <v>0</v>
      </c>
    </row>
    <row r="16" spans="1:25" x14ac:dyDescent="0.25">
      <c r="A16" s="5"/>
      <c r="B16" s="28">
        <v>0</v>
      </c>
      <c r="C16" s="28">
        <v>0</v>
      </c>
      <c r="D16" s="6">
        <f t="shared" si="2"/>
        <v>0</v>
      </c>
      <c r="E16" s="14" t="s">
        <v>15</v>
      </c>
      <c r="O16" s="25"/>
      <c r="P16" s="69"/>
      <c r="Q16" s="67"/>
      <c r="R16" s="67"/>
      <c r="S16" s="67"/>
      <c r="T16" s="67"/>
      <c r="U16" s="67"/>
      <c r="V16" s="68"/>
      <c r="W16" s="21">
        <v>0</v>
      </c>
      <c r="X16" s="21">
        <f t="shared" si="0"/>
        <v>0</v>
      </c>
      <c r="Y16" s="21">
        <f t="shared" si="1"/>
        <v>0</v>
      </c>
    </row>
    <row r="17" spans="1:28" x14ac:dyDescent="0.25">
      <c r="A17" s="5"/>
      <c r="B17" s="28">
        <v>0</v>
      </c>
      <c r="C17" s="28">
        <v>0</v>
      </c>
      <c r="D17" s="6">
        <f t="shared" si="2"/>
        <v>0</v>
      </c>
      <c r="E17" s="14" t="s">
        <v>15</v>
      </c>
      <c r="O17" s="25"/>
      <c r="P17" s="69"/>
      <c r="Q17" s="67"/>
      <c r="R17" s="67"/>
      <c r="S17" s="67"/>
      <c r="T17" s="67"/>
      <c r="U17" s="67"/>
      <c r="V17" s="68"/>
      <c r="W17" s="21">
        <v>0</v>
      </c>
      <c r="X17" s="21">
        <f t="shared" si="0"/>
        <v>0</v>
      </c>
      <c r="Y17" s="21">
        <f t="shared" si="1"/>
        <v>0</v>
      </c>
    </row>
    <row r="18" spans="1:28" ht="13.5" customHeight="1" x14ac:dyDescent="0.25">
      <c r="A18" s="5"/>
      <c r="B18" s="28">
        <v>0</v>
      </c>
      <c r="C18" s="28">
        <v>0</v>
      </c>
      <c r="D18" s="6">
        <f t="shared" si="2"/>
        <v>0</v>
      </c>
      <c r="E18" s="14" t="s">
        <v>15</v>
      </c>
      <c r="O18" s="25"/>
      <c r="P18" s="69"/>
      <c r="Q18" s="67"/>
      <c r="R18" s="67"/>
      <c r="S18" s="67"/>
      <c r="T18" s="67"/>
      <c r="U18" s="67"/>
      <c r="V18" s="68"/>
      <c r="W18" s="21">
        <v>0</v>
      </c>
      <c r="X18" s="21">
        <f t="shared" si="0"/>
        <v>0</v>
      </c>
      <c r="Y18" s="21">
        <f t="shared" si="1"/>
        <v>0</v>
      </c>
    </row>
    <row r="20" spans="1:28" ht="13.8" x14ac:dyDescent="0.3">
      <c r="B20" s="1"/>
    </row>
    <row r="21" spans="1:28" ht="13.8" thickBot="1" x14ac:dyDescent="0.3">
      <c r="O21" s="18"/>
    </row>
    <row r="22" spans="1:28" ht="16.2" x14ac:dyDescent="0.35">
      <c r="P22" s="30" t="s">
        <v>43</v>
      </c>
      <c r="Q22" s="31"/>
      <c r="R22" s="31"/>
      <c r="S22" s="31"/>
      <c r="T22" s="31"/>
      <c r="U22" s="31"/>
      <c r="V22" s="31"/>
      <c r="W22" s="32"/>
    </row>
    <row r="23" spans="1:28" ht="16.2" x14ac:dyDescent="0.35">
      <c r="P23" s="33" t="s">
        <v>44</v>
      </c>
      <c r="Q23" s="29"/>
      <c r="R23" s="29"/>
      <c r="S23" s="29"/>
      <c r="T23" s="29"/>
      <c r="U23" s="29"/>
      <c r="V23" s="29"/>
      <c r="W23" s="34"/>
    </row>
    <row r="24" spans="1:28" ht="16.8" thickBot="1" x14ac:dyDescent="0.4">
      <c r="P24" s="33" t="s">
        <v>42</v>
      </c>
      <c r="Q24" s="29"/>
      <c r="R24" s="29"/>
      <c r="S24" s="29"/>
      <c r="T24" s="29"/>
      <c r="U24" s="29"/>
      <c r="V24" s="29"/>
      <c r="W24" s="34"/>
    </row>
    <row r="25" spans="1:28" ht="16.2" x14ac:dyDescent="0.35">
      <c r="A25" s="38" t="s">
        <v>22</v>
      </c>
      <c r="B25" s="39"/>
      <c r="C25" s="39"/>
      <c r="D25" s="39"/>
      <c r="E25" s="39"/>
      <c r="F25" s="39"/>
      <c r="G25" s="39"/>
      <c r="H25" s="39"/>
      <c r="I25" s="39"/>
      <c r="J25" s="40"/>
      <c r="P25" s="33" t="s">
        <v>40</v>
      </c>
      <c r="Q25" s="29"/>
      <c r="R25" s="29"/>
      <c r="S25" s="29"/>
      <c r="T25" s="29"/>
      <c r="U25" s="29"/>
      <c r="V25" s="29"/>
      <c r="W25" s="34"/>
    </row>
    <row r="26" spans="1:28" ht="16.8" thickBot="1" x14ac:dyDescent="0.4">
      <c r="A26" s="41" t="s">
        <v>27</v>
      </c>
      <c r="J26" s="42"/>
      <c r="P26" s="35" t="s">
        <v>41</v>
      </c>
      <c r="Q26" s="36"/>
      <c r="R26" s="36"/>
      <c r="S26" s="36"/>
      <c r="T26" s="36"/>
      <c r="U26" s="36"/>
      <c r="V26" s="36"/>
      <c r="W26" s="37"/>
    </row>
    <row r="27" spans="1:28" x14ac:dyDescent="0.25">
      <c r="A27" s="43" t="s">
        <v>23</v>
      </c>
      <c r="J27" s="42"/>
    </row>
    <row r="28" spans="1:28" x14ac:dyDescent="0.25">
      <c r="A28" s="43" t="s">
        <v>24</v>
      </c>
      <c r="J28" s="42"/>
    </row>
    <row r="29" spans="1:28" x14ac:dyDescent="0.25">
      <c r="A29" s="43" t="s">
        <v>25</v>
      </c>
      <c r="J29" s="42"/>
      <c r="R29" s="29"/>
    </row>
    <row r="30" spans="1:28" ht="13.8" thickBot="1" x14ac:dyDescent="0.3">
      <c r="A30" s="44" t="s">
        <v>26</v>
      </c>
      <c r="B30" s="45"/>
      <c r="C30" s="45"/>
      <c r="D30" s="45"/>
      <c r="E30" s="45"/>
      <c r="F30" s="45"/>
      <c r="G30" s="45"/>
      <c r="H30" s="45"/>
      <c r="I30" s="45"/>
      <c r="J30" s="46"/>
    </row>
    <row r="31" spans="1:28" x14ac:dyDescent="0.25">
      <c r="Q31" s="50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40"/>
    </row>
    <row r="32" spans="1:28" ht="28.2" x14ac:dyDescent="0.5">
      <c r="Q32" s="51" t="s">
        <v>45</v>
      </c>
      <c r="AB32" s="42"/>
    </row>
    <row r="33" spans="17:28" ht="13.8" thickBot="1" x14ac:dyDescent="0.3">
      <c r="Q33" s="48"/>
      <c r="AB33" s="42"/>
    </row>
    <row r="34" spans="17:28" x14ac:dyDescent="0.25">
      <c r="Q34" s="50" t="s">
        <v>46</v>
      </c>
      <c r="R34" s="39"/>
      <c r="S34" s="39"/>
      <c r="T34" s="39"/>
      <c r="U34" s="39"/>
      <c r="V34" s="39"/>
      <c r="W34" s="39"/>
      <c r="X34" s="39"/>
      <c r="Y34" s="39"/>
      <c r="Z34" s="39"/>
      <c r="AA34" s="40"/>
      <c r="AB34" s="42"/>
    </row>
    <row r="35" spans="17:28" x14ac:dyDescent="0.25">
      <c r="Q35" s="48" t="s">
        <v>47</v>
      </c>
      <c r="AA35" s="42"/>
      <c r="AB35" s="42"/>
    </row>
    <row r="36" spans="17:28" ht="13.8" thickBot="1" x14ac:dyDescent="0.3">
      <c r="Q36" s="49" t="s">
        <v>48</v>
      </c>
      <c r="R36" s="45"/>
      <c r="S36" s="45"/>
      <c r="T36" s="45"/>
      <c r="U36" s="45"/>
      <c r="V36" s="45"/>
      <c r="W36" s="45"/>
      <c r="X36" s="45"/>
      <c r="Y36" s="45"/>
      <c r="Z36" s="45"/>
      <c r="AA36" s="46"/>
      <c r="AB36" s="42"/>
    </row>
    <row r="37" spans="17:28" ht="13.8" thickBot="1" x14ac:dyDescent="0.3">
      <c r="Q37" s="48"/>
      <c r="AB37" s="42"/>
    </row>
    <row r="38" spans="17:28" x14ac:dyDescent="0.25">
      <c r="Q38" s="50" t="s">
        <v>50</v>
      </c>
      <c r="R38" s="39"/>
      <c r="S38" s="39"/>
      <c r="T38" s="39"/>
      <c r="U38" s="39"/>
      <c r="V38" s="39"/>
      <c r="W38" s="39"/>
      <c r="X38" s="40"/>
      <c r="AB38" s="42"/>
    </row>
    <row r="39" spans="17:28" x14ac:dyDescent="0.25">
      <c r="Q39" s="48" t="s">
        <v>54</v>
      </c>
      <c r="X39" s="42"/>
      <c r="AB39" s="42"/>
    </row>
    <row r="40" spans="17:28" ht="13.8" thickBot="1" x14ac:dyDescent="0.3">
      <c r="Q40" s="49" t="s">
        <v>49</v>
      </c>
      <c r="R40" s="45"/>
      <c r="S40" s="45"/>
      <c r="T40" s="45"/>
      <c r="U40" s="45"/>
      <c r="V40" s="45"/>
      <c r="W40" s="45"/>
      <c r="X40" s="46"/>
      <c r="AB40" s="42"/>
    </row>
    <row r="41" spans="17:28" ht="13.8" thickBot="1" x14ac:dyDescent="0.3">
      <c r="Q41" s="48"/>
      <c r="AB41" s="42"/>
    </row>
    <row r="42" spans="17:28" x14ac:dyDescent="0.25">
      <c r="Q42" s="50" t="s">
        <v>52</v>
      </c>
      <c r="R42" s="39"/>
      <c r="S42" s="39"/>
      <c r="T42" s="39"/>
      <c r="U42" s="39"/>
      <c r="V42" s="39"/>
      <c r="W42" s="39"/>
      <c r="X42" s="40"/>
      <c r="AB42" s="42"/>
    </row>
    <row r="43" spans="17:28" x14ac:dyDescent="0.25">
      <c r="Q43" s="48" t="s">
        <v>51</v>
      </c>
      <c r="X43" s="42"/>
      <c r="AB43" s="42"/>
    </row>
    <row r="44" spans="17:28" ht="13.8" thickBot="1" x14ac:dyDescent="0.3">
      <c r="Q44" s="49" t="s">
        <v>53</v>
      </c>
      <c r="R44" s="45"/>
      <c r="S44" s="45"/>
      <c r="T44" s="45"/>
      <c r="U44" s="45"/>
      <c r="V44" s="45"/>
      <c r="W44" s="45"/>
      <c r="X44" s="46"/>
      <c r="AB44" s="42"/>
    </row>
    <row r="45" spans="17:28" x14ac:dyDescent="0.25">
      <c r="Q45" s="48" t="s">
        <v>15</v>
      </c>
      <c r="AB45" s="42"/>
    </row>
    <row r="46" spans="17:28" ht="13.8" thickBot="1" x14ac:dyDescent="0.3">
      <c r="Q46" s="49" t="s">
        <v>15</v>
      </c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6"/>
    </row>
    <row r="47" spans="17:28" x14ac:dyDescent="0.25">
      <c r="Q47" t="s">
        <v>15</v>
      </c>
    </row>
    <row r="49" spans="17:19" x14ac:dyDescent="0.25">
      <c r="Q49" s="29" t="s">
        <v>56</v>
      </c>
      <c r="S49" s="52" t="s">
        <v>55</v>
      </c>
    </row>
    <row r="67" spans="1:10" ht="13.8" thickBot="1" x14ac:dyDescent="0.3"/>
    <row r="68" spans="1:10" ht="15.6" x14ac:dyDescent="0.3">
      <c r="A68" s="38" t="s">
        <v>28</v>
      </c>
      <c r="B68" s="39"/>
      <c r="C68" s="39"/>
      <c r="D68" s="39"/>
      <c r="E68" s="39"/>
      <c r="F68" s="39"/>
      <c r="G68" s="39"/>
      <c r="H68" s="39"/>
      <c r="I68" s="39"/>
      <c r="J68" s="40"/>
    </row>
    <row r="69" spans="1:10" ht="16.2" x14ac:dyDescent="0.35">
      <c r="A69" s="47" t="s">
        <v>35</v>
      </c>
      <c r="J69" s="42"/>
    </row>
    <row r="70" spans="1:10" x14ac:dyDescent="0.25">
      <c r="A70" s="43" t="s">
        <v>29</v>
      </c>
      <c r="J70" s="42"/>
    </row>
    <row r="71" spans="1:10" x14ac:dyDescent="0.25">
      <c r="A71" s="43" t="s">
        <v>30</v>
      </c>
      <c r="J71" s="42"/>
    </row>
    <row r="72" spans="1:10" x14ac:dyDescent="0.25">
      <c r="A72" s="48" t="s">
        <v>31</v>
      </c>
      <c r="J72" s="42"/>
    </row>
    <row r="73" spans="1:10" x14ac:dyDescent="0.25">
      <c r="A73" s="48" t="s">
        <v>32</v>
      </c>
      <c r="J73" s="42"/>
    </row>
    <row r="74" spans="1:10" x14ac:dyDescent="0.25">
      <c r="A74" s="48" t="s">
        <v>33</v>
      </c>
      <c r="J74" s="42"/>
    </row>
    <row r="75" spans="1:10" x14ac:dyDescent="0.25">
      <c r="A75" s="48" t="s">
        <v>34</v>
      </c>
      <c r="J75" s="42"/>
    </row>
    <row r="76" spans="1:10" ht="13.8" thickBot="1" x14ac:dyDescent="0.3">
      <c r="A76" s="44" t="s">
        <v>36</v>
      </c>
      <c r="B76" s="45"/>
      <c r="C76" s="45"/>
      <c r="D76" s="45"/>
      <c r="E76" s="45"/>
      <c r="F76" s="45"/>
      <c r="G76" s="45"/>
      <c r="H76" s="45"/>
      <c r="I76" s="45"/>
      <c r="J76" s="46"/>
    </row>
    <row r="92" spans="1:16" ht="13.8" thickBot="1" x14ac:dyDescent="0.3"/>
    <row r="93" spans="1:16" ht="15.6" x14ac:dyDescent="0.3">
      <c r="A93" s="38" t="s">
        <v>37</v>
      </c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40"/>
    </row>
    <row r="94" spans="1:16" ht="16.2" x14ac:dyDescent="0.35">
      <c r="A94" s="47" t="s">
        <v>38</v>
      </c>
      <c r="P94" s="42"/>
    </row>
    <row r="95" spans="1:16" x14ac:dyDescent="0.25">
      <c r="A95" s="48" t="s">
        <v>39</v>
      </c>
      <c r="P95" s="42"/>
    </row>
    <row r="96" spans="1:16" ht="13.8" thickBot="1" x14ac:dyDescent="0.3">
      <c r="A96" s="49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6"/>
    </row>
  </sheetData>
  <sheetProtection selectLockedCells="1"/>
  <mergeCells count="21">
    <mergeCell ref="P15:V15"/>
    <mergeCell ref="P16:V16"/>
    <mergeCell ref="P17:V17"/>
    <mergeCell ref="P18:V18"/>
    <mergeCell ref="W1:Y1"/>
    <mergeCell ref="P9:V9"/>
    <mergeCell ref="P10:V10"/>
    <mergeCell ref="P11:V11"/>
    <mergeCell ref="P12:V12"/>
    <mergeCell ref="P14:V14"/>
    <mergeCell ref="P13:V13"/>
    <mergeCell ref="P6:V6"/>
    <mergeCell ref="A1:E1"/>
    <mergeCell ref="J2:N2"/>
    <mergeCell ref="G4:G8"/>
    <mergeCell ref="G1:N1"/>
    <mergeCell ref="O1:V1"/>
    <mergeCell ref="P4:V4"/>
    <mergeCell ref="P5:V5"/>
    <mergeCell ref="P7:V7"/>
    <mergeCell ref="P8:V8"/>
  </mergeCells>
  <phoneticPr fontId="5" type="noConversion"/>
  <hyperlinks>
    <hyperlink ref="S49" r:id="rId1" xr:uid="{00000000-0004-0000-0000-000000000000}"/>
  </hyperlinks>
  <printOptions horizontalCentered="1" verticalCentered="1"/>
  <pageMargins left="0.47244094488188981" right="0.31496062992125984" top="0.98425196850393704" bottom="0.98425196850393704" header="0" footer="0"/>
  <pageSetup paperSize="8" scale="54" orientation="landscape" r:id="rId2"/>
  <headerFooter alignWithMargins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matriz de riesgos</dc:title>
  <dc:creator>Miguel Recio</dc:creator>
  <cp:lastModifiedBy>yasin ezziani</cp:lastModifiedBy>
  <cp:lastPrinted>2024-04-18T11:09:26Z</cp:lastPrinted>
  <dcterms:created xsi:type="dcterms:W3CDTF">2005-12-18T12:34:24Z</dcterms:created>
  <dcterms:modified xsi:type="dcterms:W3CDTF">2024-09-22T18:18:56Z</dcterms:modified>
</cp:coreProperties>
</file>